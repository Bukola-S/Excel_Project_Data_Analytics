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Excel_Data_Analytics_Course-Luke Barousse Youtube\6_Advanced_Data_Analysis\"/>
    </mc:Choice>
  </mc:AlternateContent>
  <xr:revisionPtr revIDLastSave="0" documentId="13_ncr:1_{BCEAE780-0534-4FD6-AA7E-873BEC88D6B2}" xr6:coauthVersionLast="47" xr6:coauthVersionMax="47" xr10:uidLastSave="{00000000-0000-0000-0000-000000000000}"/>
  <bookViews>
    <workbookView xWindow="-240" yWindow="518" windowWidth="13440" windowHeight="13492" activeTab="1" xr2:uid="{6C37AC85-509F-4D10-9DB1-F70D16D6FBAB}"/>
  </bookViews>
  <sheets>
    <sheet name="One_Input" sheetId="4" r:id="rId1"/>
    <sheet name="Two_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J3" i="4" s="1"/>
  <c r="C12" i="4"/>
  <c r="I3" i="4" s="1"/>
  <c r="C11" i="4"/>
  <c r="H3" i="4" s="1"/>
  <c r="C10" i="4"/>
  <c r="G3" i="4" s="1"/>
  <c r="C9" i="4"/>
  <c r="F3" i="4"/>
  <c r="C13" i="3"/>
  <c r="C12" i="3"/>
  <c r="C11" i="3"/>
  <c r="C10" i="3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K3" i="4" s="1"/>
  <c r="C14" i="3"/>
  <c r="E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<sst xmlns="http://schemas.openxmlformats.org/spreadsheetml/2006/main" count="50" uniqueCount="13">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</sst>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7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5" fillId="0" borderId="19" xfId="0" applyNumberFormat="1" applyFont="1" applyBorder="1"/>
    <xf numFmtId="165" fontId="2" fillId="0" borderId="20" xfId="0" applyNumberFormat="1" applyFont="1" applyBorder="1"/>
    <xf numFmtId="165" fontId="2" fillId="0" borderId="21" xfId="0" applyNumberFormat="1" applyFont="1" applyBorder="1"/>
    <xf numFmtId="165" fontId="2" fillId="0" borderId="22" xfId="0" applyNumberFormat="1" applyFont="1" applyBorder="1"/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164" fontId="0" fillId="0" borderId="27" xfId="1" applyNumberFormat="1" applyFont="1" applyBorder="1"/>
    <xf numFmtId="164" fontId="0" fillId="0" borderId="28" xfId="1" applyNumberFormat="1" applyFont="1" applyBorder="1"/>
    <xf numFmtId="164" fontId="0" fillId="0" borderId="29" xfId="1" applyNumberFormat="1" applyFont="1" applyBorder="1"/>
    <xf numFmtId="9" fontId="9" fillId="0" borderId="24" xfId="2" applyFont="1" applyBorder="1"/>
    <xf numFmtId="9" fontId="9" fillId="0" borderId="25" xfId="2" applyFont="1" applyBorder="1"/>
    <xf numFmtId="9" fontId="9" fillId="0" borderId="26" xfId="2" applyFont="1" applyBorder="1"/>
    <xf numFmtId="164" fontId="10" fillId="0" borderId="23" xfId="0" applyNumberFormat="1" applyFont="1" applyBorder="1"/>
    <xf numFmtId="0" fontId="2" fillId="0" borderId="28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12FA-95E5-4F09-A484-6BCA38102F79}">
  <dimension ref="B1:K14"/>
  <sheetViews>
    <sheetView zoomScale="90" zoomScaleNormal="90" workbookViewId="0">
      <selection activeCell="J21" sqref="J21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4.65" thickBot="1" x14ac:dyDescent="0.5">
      <c r="B3" s="6" t="s">
        <v>0</v>
      </c>
      <c r="C3" s="25">
        <v>100000</v>
      </c>
      <c r="E3" s="32"/>
      <c r="F3" s="36">
        <f>C9</f>
        <v>110000.00000000001</v>
      </c>
      <c r="G3" s="37">
        <f>C10</f>
        <v>111650</v>
      </c>
      <c r="H3" s="37">
        <f>C11</f>
        <v>113324.74999999997</v>
      </c>
      <c r="I3" s="37">
        <f>C12</f>
        <v>115024.62124999997</v>
      </c>
      <c r="J3" s="37">
        <f>C13</f>
        <v>116749.99056874996</v>
      </c>
      <c r="K3" s="38">
        <f>C14</f>
        <v>566749.36181874992</v>
      </c>
    </row>
    <row r="4" spans="2:11" x14ac:dyDescent="0.45">
      <c r="B4" s="6" t="s">
        <v>1</v>
      </c>
      <c r="C4" s="26">
        <v>0.1</v>
      </c>
      <c r="E4" s="33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65" thickBot="1" x14ac:dyDescent="0.5">
      <c r="B5" s="8" t="s">
        <v>2</v>
      </c>
      <c r="C5" s="27">
        <v>1.4999999999999999E-2</v>
      </c>
      <c r="E5" s="34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65" thickBot="1" x14ac:dyDescent="0.5">
      <c r="E6" s="34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45">
      <c r="B7" s="28" t="s">
        <v>10</v>
      </c>
      <c r="C7" s="29"/>
      <c r="E7" s="34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45">
      <c r="B8" s="14" t="s">
        <v>11</v>
      </c>
      <c r="C8" s="15" t="s">
        <v>12</v>
      </c>
      <c r="E8" s="34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45">
      <c r="B9" s="9">
        <v>0</v>
      </c>
      <c r="C9" s="7">
        <f>(base*(1+raise)^B9)*(1+bonus)</f>
        <v>110000.00000000001</v>
      </c>
      <c r="E9" s="34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45">
      <c r="B10" s="9">
        <v>1</v>
      </c>
      <c r="C10" s="7">
        <f>(base*(1+raise)^B10)*(1+bonus)</f>
        <v>111650</v>
      </c>
      <c r="E10" s="34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45">
      <c r="B11" s="9">
        <v>2</v>
      </c>
      <c r="C11" s="7">
        <f>(base*(1+raise)^B11)*(1+bonus)</f>
        <v>113324.74999999997</v>
      </c>
      <c r="E11" s="34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E12" s="35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theme="3" tint="0.499984740745262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="90" zoomScaleNormal="90" workbookViewId="0">
      <selection activeCell="J16" sqref="J16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x14ac:dyDescent="0.45">
      <c r="B2" s="28" t="s">
        <v>9</v>
      </c>
      <c r="C2" s="29"/>
      <c r="E2" s="5" t="s">
        <v>2</v>
      </c>
      <c r="F2" s="46" t="s">
        <v>1</v>
      </c>
      <c r="G2" s="46"/>
      <c r="H2" s="46"/>
      <c r="I2" s="46"/>
      <c r="J2" s="46"/>
      <c r="K2" s="46"/>
    </row>
    <row r="3" spans="2:11" ht="14.65" thickBot="1" x14ac:dyDescent="0.5">
      <c r="B3" s="6" t="s">
        <v>0</v>
      </c>
      <c r="C3" s="25">
        <v>100000</v>
      </c>
      <c r="E3" s="45">
        <f>C14</f>
        <v>566749.36181874992</v>
      </c>
      <c r="F3" s="42">
        <v>0</v>
      </c>
      <c r="G3" s="43">
        <v>0.05</v>
      </c>
      <c r="H3" s="42">
        <v>0.1</v>
      </c>
      <c r="I3" s="43">
        <v>0.15</v>
      </c>
      <c r="J3" s="42">
        <v>0.2</v>
      </c>
      <c r="K3" s="44">
        <v>0.25</v>
      </c>
    </row>
    <row r="4" spans="2:11" x14ac:dyDescent="0.45">
      <c r="B4" s="6" t="s">
        <v>1</v>
      </c>
      <c r="C4" s="26">
        <v>0.1</v>
      </c>
      <c r="E4" s="33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39">
        <v>625000</v>
      </c>
    </row>
    <row r="5" spans="2:11" ht="14.65" thickBot="1" x14ac:dyDescent="0.5">
      <c r="B5" s="8" t="s">
        <v>2</v>
      </c>
      <c r="C5" s="27">
        <v>1.4999999999999999E-2</v>
      </c>
      <c r="E5" s="34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39">
        <v>631281.32820312493</v>
      </c>
    </row>
    <row r="6" spans="2:11" ht="14.65" thickBot="1" x14ac:dyDescent="0.5">
      <c r="E6" s="34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39">
        <v>637625.62624999997</v>
      </c>
    </row>
    <row r="7" spans="2:11" x14ac:dyDescent="0.45">
      <c r="B7" s="28" t="s">
        <v>10</v>
      </c>
      <c r="C7" s="29"/>
      <c r="E7" s="34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39">
        <v>644033.3657031249</v>
      </c>
    </row>
    <row r="8" spans="2:11" x14ac:dyDescent="0.45">
      <c r="B8" s="14" t="s">
        <v>11</v>
      </c>
      <c r="C8" s="15" t="s">
        <v>12</v>
      </c>
      <c r="E8" s="34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39">
        <v>650505.02</v>
      </c>
    </row>
    <row r="9" spans="2:11" x14ac:dyDescent="0.45">
      <c r="B9" s="9">
        <v>0</v>
      </c>
      <c r="C9" s="7">
        <f>(base*(1+raise)^B9)*(1+bonus)</f>
        <v>110000.00000000001</v>
      </c>
      <c r="E9" s="34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39">
        <v>657041.064453125</v>
      </c>
    </row>
    <row r="10" spans="2:11" x14ac:dyDescent="0.45">
      <c r="B10" s="9">
        <v>1</v>
      </c>
      <c r="C10" s="7">
        <f>(base*(1+raise)^B10)*(1+bonus)</f>
        <v>111650</v>
      </c>
      <c r="E10" s="34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39">
        <v>663641.97625000007</v>
      </c>
    </row>
    <row r="11" spans="2:11" x14ac:dyDescent="0.45">
      <c r="B11" s="9">
        <v>2</v>
      </c>
      <c r="C11" s="7">
        <f>(base*(1+raise)^B11)*(1+bonus)</f>
        <v>113324.74999999997</v>
      </c>
      <c r="E11" s="34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39">
        <v>670308.23445312493</v>
      </c>
    </row>
    <row r="12" spans="2:11" x14ac:dyDescent="0.45">
      <c r="B12" s="9">
        <v>3</v>
      </c>
      <c r="C12" s="7">
        <f>(base*(1+raise)^B12)*(1+bonus)</f>
        <v>115024.62124999997</v>
      </c>
      <c r="E12" s="35">
        <v>0.04</v>
      </c>
      <c r="F12" s="40">
        <v>541632.25600000005</v>
      </c>
      <c r="G12" s="40">
        <v>568713.86880000005</v>
      </c>
      <c r="H12" s="40">
        <v>595795.48160000006</v>
      </c>
      <c r="I12" s="40">
        <v>622877.09440000006</v>
      </c>
      <c r="J12" s="40">
        <v>649958.70720000006</v>
      </c>
      <c r="K12" s="41">
        <v>677040.32000000007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phoneticPr fontId="3" type="noConversion"/>
  <conditionalFormatting sqref="F4:K12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4.65" thickBot="1" x14ac:dyDescent="0.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4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65" thickBot="1" x14ac:dyDescent="0.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65" thickBot="1" x14ac:dyDescent="0.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4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4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4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4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4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E3" sqref="E3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4.65" thickBot="1" x14ac:dyDescent="0.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4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65" thickBot="1" x14ac:dyDescent="0.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65" thickBot="1" x14ac:dyDescent="0.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4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4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4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4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4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salimon bukola</cp:lastModifiedBy>
  <dcterms:created xsi:type="dcterms:W3CDTF">2024-08-08T18:34:47Z</dcterms:created>
  <dcterms:modified xsi:type="dcterms:W3CDTF">2026-05-11T18:14:32Z</dcterms:modified>
</cp:coreProperties>
</file>